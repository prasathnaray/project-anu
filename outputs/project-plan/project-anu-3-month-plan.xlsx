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d45b302e5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-Month Plan" sheetId="1" r:id="Rfc6aa845fb8d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10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  <x:font>
      <x:b/>
      <x:sz val="11"/>
      <x:color rgb="FF222222"/>
      <x:name val="Arial"/>
    </x:font>
    <x:font>
      <x:sz val="10"/>
      <x:color rgb="FF444444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</x:fills>
  <x:borders count="15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  <x:border>
      <x:left/>
      <x:right/>
      <x:top style="thin">
        <x:color rgb="FFD9D9D9"/>
      </x:top>
      <x:bottom/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/>
      <x:bottom/>
      <x:diagonal/>
    </x:border>
    <x:border>
      <x:left/>
      <x:right style="thin">
        <x:color rgb="FFD9D9D9"/>
      </x:right>
      <x:top/>
      <x:bottom/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200" fontId="4" fillId="3" borderId="2" xfId="0" applyNumberFormat="1" applyFont="1" applyFill="1" applyBorder="1"/>
    <x:xf numFmtId="0" fontId="3" fillId="2" borderId="3" xfId="0" applyNumberFormat="1" applyFont="1" applyFill="1" applyBorder="1"/>
    <x:xf numFmtId="200" fontId="4" fillId="3" borderId="4" xfId="0" applyNumberFormat="1" applyFont="1" applyFill="1" applyBorder="1"/>
    <x:xf numFmtId="0" fontId="4" fillId="3" borderId="4" xfId="0" applyNumberFormat="1" applyFont="1" applyFill="1" applyBorder="1"/>
    <x:xf numFmtId="0" fontId="3" fillId="2" borderId="5" xfId="0" applyNumberFormat="1" applyFont="1" applyFill="1" applyBorder="1"/>
    <x:xf numFmtId="0" fontId="4" fillId="3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2" borderId="1" xfId="0" applyNumberFormat="1" applyFont="1" applyFill="1" applyBorder="1"/>
    <x:xf numFmtId="200" fontId="6" fillId="3" borderId="2" xfId="0" applyNumberFormat="1" applyFont="1" applyFill="1" applyBorder="1"/>
    <x:xf numFmtId="0" fontId="8" fillId="4" borderId="7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/>
    <x:xf numFmtId="200" fontId="6" fillId="3" borderId="4" xfId="0" applyNumberFormat="1" applyFont="1" applyFill="1" applyBorder="1"/>
    <x:xf numFmtId="0" fontId="8" fillId="4" borderId="1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/>
    <x:xf numFmtId="0" fontId="6" fillId="2" borderId="5" xfId="0" applyNumberFormat="1" applyFont="1" applyFill="1" applyBorder="1"/>
    <x:xf numFmtId="0" fontId="6" fillId="3" borderId="6" xfId="0" applyNumberFormat="1" applyFont="1" applyFill="1" applyBorder="1"/>
    <x:xf numFmtId="0" fontId="8" fillId="4" borderId="12" xfId="0" applyNumberFormat="1" applyFont="1" applyFill="1" applyBorder="1" applyAlignment="1">
      <x:alignment vertical="top" wrapText="1"/>
    </x:xf>
    <x:xf numFmtId="0" fontId="8" fillId="4" borderId="13" xfId="0" applyNumberFormat="1" applyFont="1" applyFill="1" applyBorder="1" applyAlignment="1">
      <x:alignment vertical="top" wrapText="1"/>
    </x:xf>
    <x:xf numFmtId="0" fontId="8" fillId="4" borderId="14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3374efc7e4cad" /><Relationship Type="http://schemas.openxmlformats.org/officeDocument/2006/relationships/theme" Target="/xl/theme/theme1.xml" Id="R5252acc18584465f" /><Relationship Type="http://schemas.openxmlformats.org/officeDocument/2006/relationships/sharedStrings" Target="/xl/sharedStrings.xml" Id="R0bda3c54b695496a" /><Relationship Type="http://schemas.openxmlformats.org/officeDocument/2006/relationships/worksheet" Target="/xl/worksheets/sheet1.xml" Id="Rfc6aa845fb8d4d9b" /></Relationships>
</file>

<file path=xl/tables/table1.xml><?xml version="1.0" encoding="utf-8"?>
<x:table xmlns:x="http://schemas.openxmlformats.org/spreadsheetml/2006/main" id="1" name="TasksTable" displayName="TasksTable" ref="A13:L39" headerRowCount="1" totalsRowCount="0" totalsRowShown="0">
  <x:autoFilter ref="A13:L39"/>
  <x:tableColumns count="12">
    <x:tableColumn id="1" name="ID"/>
    <x:tableColumn id="2" name="Area"/>
    <x:tableColumn id="3" name="Task in simple words"/>
    <x:tableColumn id="4" name="What done looks like"/>
    <x:tableColumn id="5" name="Owner"/>
    <x:tableColumn id="6" name="Depends on"/>
    <x:tableColumn id="7" name="Start"/>
    <x:tableColumn id="8" name="Due"/>
    <x:tableColumn id="9" name="Priority"/>
    <x:tableColumn id="10" name="Status"/>
    <x:tableColumn id="11" name="Notes"/>
    <x:tableColumn id="12" name="Days lef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bb87dc909408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6" hidden="0" customWidth="1"/>
    <x:col min="2" max="2" width="15" hidden="0" customWidth="1"/>
    <x:col min="3" max="3" width="30" hidden="0" customWidth="1"/>
    <x:col min="4" max="4" width="32" hidden="0" customWidth="1"/>
    <x:col min="5" max="5" width="25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0" hidden="0" customWidth="1"/>
    <x:col min="12" max="12" width="10" hidden="0" customWidth="1"/>
  </x:cols>
  <x:sheetData>
    <x:row r="1" ht="28" customHeight="1">
      <x:c r="A1" s="2" t="str">
        <x:v>Project ANU — 3-Month Work Plan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1" t="str">
        <x:v>Plain-language tracker for security, performance, MFA, payments, and UI/UX work. Planned period: Monday, 12-Oct-2026 to Thursday, 31-Dec-2026.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>
      <x:c r="A4" s="33" t="str">
        <x:v>Plan start</x:v>
      </x:c>
      <x:c r="B4" s="34" t="d">
        <x:v>2026-10-12T00:00:00.000Z</x:v>
      </x:c>
      <x:c r="C4" s="32"/>
      <x:c r="D4" s="35" t="str">
        <x:v>Planning assumptions:
• This is a two-resource project. Resource 1 focuses on backend, security, cloud, and performance. Resource 2 focuses on frontend, product, identity, and QA. Some tasks are shared.
• Cybersecurity work covers encryption, decryption access, key management, password hashing, and security testing.
• Node.js performance work covers a baseline, load testing, and optimization.
• MFA requires choosing/configuring a domain or identity provider before implementation.
• UI/UX is outsourced. If started Monday, 12-Oct-2026, the initial design delivery is expected around Monday, 26-Oct-2026.
• Payment gateway remains a decision item until the business confirms that paid transactions are needed.
• Final plan review is scheduled for Thursday, 31-Dec-2026.</x:v>
      </x:c>
      <x:c r="E4" s="36"/>
      <x:c r="F4" s="36"/>
      <x:c r="G4" s="36"/>
      <x:c r="H4" s="36"/>
      <x:c r="I4" s="36"/>
      <x:c r="J4" s="36"/>
      <x:c r="K4" s="36"/>
      <x:c r="L4" s="37"/>
    </x:row>
    <x:row r="5">
      <x:c r="A5" s="38" t="str">
        <x:v>Plan end</x:v>
      </x:c>
      <x:c r="B5" s="39" t="d">
        <x:v>2026-12-31T00:00:00.000Z</x:v>
      </x:c>
      <x:c r="C5" s="32"/>
      <x:c r="D5" s="40"/>
      <x:c r="E5" s="41"/>
      <x:c r="F5" s="41"/>
      <x:c r="G5" s="41"/>
      <x:c r="H5" s="41"/>
      <x:c r="I5" s="41"/>
      <x:c r="J5" s="41"/>
      <x:c r="K5" s="41"/>
      <x:c r="L5" s="42"/>
    </x:row>
    <x:row r="6">
      <x:c r="A6" s="38" t="str">
        <x:v>Total tasks</x:v>
      </x:c>
      <x:c r="B6" s="43" t="n">
        <x:f>COUNTA($A$14:$A$39)</x:f>
        <x:v>26</x:v>
      </x:c>
      <x:c r="C6" s="32"/>
      <x:c r="D6" s="40"/>
      <x:c r="E6" s="41"/>
      <x:c r="F6" s="41"/>
      <x:c r="G6" s="41"/>
      <x:c r="H6" s="41"/>
      <x:c r="I6" s="41"/>
      <x:c r="J6" s="41"/>
      <x:c r="K6" s="41"/>
      <x:c r="L6" s="42"/>
    </x:row>
    <x:row r="7">
      <x:c r="A7" s="38" t="str">
        <x:v>Done</x:v>
      </x:c>
      <x:c r="B7" s="43" t="n">
        <x:f>COUNTIF($J$14:$J$39,"Done")</x:f>
        <x:v>0</x:v>
      </x:c>
      <x:c r="C7" s="32"/>
      <x:c r="D7" s="40"/>
      <x:c r="E7" s="41"/>
      <x:c r="F7" s="41"/>
      <x:c r="G7" s="41"/>
      <x:c r="H7" s="41"/>
      <x:c r="I7" s="41"/>
      <x:c r="J7" s="41"/>
      <x:c r="K7" s="41"/>
      <x:c r="L7" s="42"/>
    </x:row>
    <x:row r="8">
      <x:c r="A8" s="38" t="str">
        <x:v>In progress</x:v>
      </x:c>
      <x:c r="B8" s="43" t="n">
        <x:f>COUNTIF($J$14:$J$39,"In progress")</x:f>
        <x:v>0</x:v>
      </x:c>
      <x:c r="C8" s="32"/>
      <x:c r="D8" s="40"/>
      <x:c r="E8" s="41"/>
      <x:c r="F8" s="41"/>
      <x:c r="G8" s="41"/>
      <x:c r="H8" s="41"/>
      <x:c r="I8" s="41"/>
      <x:c r="J8" s="41"/>
      <x:c r="K8" s="41"/>
      <x:c r="L8" s="42"/>
    </x:row>
    <x:row r="9">
      <x:c r="A9" s="38" t="str">
        <x:v>Not started</x:v>
      </x:c>
      <x:c r="B9" s="43" t="n">
        <x:f>COUNTIF($J$14:$J$39,"Not started")</x:f>
        <x:v>26</x:v>
      </x:c>
      <x:c r="C9" s="32"/>
      <x:c r="D9" s="40"/>
      <x:c r="E9" s="41"/>
      <x:c r="F9" s="41"/>
      <x:c r="G9" s="41"/>
      <x:c r="H9" s="41"/>
      <x:c r="I9" s="41"/>
      <x:c r="J9" s="41"/>
      <x:c r="K9" s="41"/>
      <x:c r="L9" s="42"/>
    </x:row>
    <x:row r="10">
      <x:c r="A10" s="44" t="str">
        <x:v>High priority</x:v>
      </x:c>
      <x:c r="B10" s="45" t="n">
        <x:f>COUNTIF($I$14:$I$39,"High")</x:f>
        <x:v>20</x:v>
      </x:c>
      <x:c r="C10" s="32"/>
      <x:c r="D10" s="46"/>
      <x:c r="E10" s="47"/>
      <x:c r="F10" s="47"/>
      <x:c r="G10" s="47"/>
      <x:c r="H10" s="47"/>
      <x:c r="I10" s="47"/>
      <x:c r="J10" s="47"/>
      <x:c r="K10" s="47"/>
      <x:c r="L10" s="48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 ht="30" customHeight="1">
      <x:c r="A13" s="52" t="str">
        <x:v>ID</x:v>
      </x:c>
      <x:c r="B13" s="52" t="str">
        <x:v>Area</x:v>
      </x:c>
      <x:c r="C13" s="52" t="str">
        <x:v>Task in simple words</x:v>
      </x:c>
      <x:c r="D13" s="52" t="str">
        <x:v>What done looks like</x:v>
      </x:c>
      <x:c r="E13" s="52" t="str">
        <x:v>Owner</x:v>
      </x:c>
      <x:c r="F13" s="52" t="str">
        <x:v>Depends on</x:v>
      </x:c>
      <x:c r="G13" s="52" t="str">
        <x:v>Start</x:v>
      </x:c>
      <x:c r="H13" s="52" t="str">
        <x:v>Due</x:v>
      </x:c>
      <x:c r="I13" s="52" t="str">
        <x:v>Priority</x:v>
      </x:c>
      <x:c r="J13" s="52" t="str">
        <x:v>Status</x:v>
      </x:c>
      <x:c r="K13" s="52" t="str">
        <x:v>Notes</x:v>
      </x:c>
      <x:c r="L13" s="52" t="str">
        <x:v>Days left</x:v>
      </x:c>
    </x:row>
    <x:row r="14" ht="32" customHeight="1">
      <x:c r="A14" s="56" t="n">
        <x:v>1</x:v>
      </x:c>
      <x:c r="B14" s="57" t="str">
        <x:v>Planning</x:v>
      </x:c>
      <x:c r="C14" s="60" t="str">
        <x:v>Confirm the 3-month scope and weekly check-ins</x:v>
      </x:c>
      <x:c r="D14" s="60" t="str">
        <x:v>Everyone agrees what will be delivered and when</x:v>
      </x:c>
      <x:c r="E14" s="60" t="str">
        <x:v>Both resources</x:v>
      </x:c>
      <x:c r="F14" s="60" t="str">
        <x:v>None</x:v>
      </x:c>
      <x:c r="G14" s="58" t="d">
        <x:v>2026-10-12T00:00:00.000Z</x:v>
      </x:c>
      <x:c r="H14" s="58" t="d">
        <x:v>2026-10-16T00:00:00.000Z</x:v>
      </x:c>
      <x:c r="I14" s="57" t="str">
        <x:v>High</x:v>
      </x:c>
      <x:c r="J14" s="57" t="str">
        <x:v>Not started</x:v>
      </x:c>
      <x:c r="K14" s="60" t="str">
        <x:v>Use this sheet as the weekly review list</x:v>
      </x:c>
      <x:c r="L14" s="59" t="n">
        <x:f>H14-TODAY()</x:f>
        <x:v>7</x:v>
      </x:c>
    </x:row>
    <x:row r="15" ht="32" customHeight="1">
      <x:c r="A15" s="56" t="n">
        <x:v>2</x:v>
      </x:c>
      <x:c r="B15" s="57" t="str">
        <x:v>Cybersecurity</x:v>
      </x:c>
      <x:c r="C15" s="60" t="str">
        <x:v>List all personal, login, payment, and medical data</x:v>
      </x:c>
      <x:c r="D15" s="60" t="str">
        <x:v>A simple data map shows where each type of data is stored</x:v>
      </x:c>
      <x:c r="E15" s="60" t="str">
        <x:v>Resource 1 — Backend / Security</x:v>
      </x:c>
      <x:c r="F15" s="60" t="str">
        <x:v>Task 1</x:v>
      </x:c>
      <x:c r="G15" s="58" t="d">
        <x:v>2026-10-12T00:00:00.000Z</x:v>
      </x:c>
      <x:c r="H15" s="58" t="d">
        <x:v>2026-10-16T00:00:00.000Z</x:v>
      </x:c>
      <x:c r="I15" s="57" t="str">
        <x:v>High</x:v>
      </x:c>
      <x:c r="J15" s="57" t="str">
        <x:v>Not started</x:v>
      </x:c>
      <x:c r="K15" s="60" t="str">
        <x:v>Include database, S3, logs, backups, and vendors</x:v>
      </x:c>
      <x:c r="L15" s="59" t="n">
        <x:f>H15-TODAY()</x:f>
        <x:v>7</x:v>
      </x:c>
    </x:row>
    <x:row r="16" ht="32" customHeight="1">
      <x:c r="A16" s="56" t="n">
        <x:v>3</x:v>
      </x:c>
      <x:c r="B16" s="57" t="str">
        <x:v>Cybersecurity</x:v>
      </x:c>
      <x:c r="C16" s="60" t="str">
        <x:v>Review the current security gaps</x:v>
      </x:c>
      <x:c r="D16" s="60" t="str">
        <x:v>A short list of risks and fixes is approved</x:v>
      </x:c>
      <x:c r="E16" s="60" t="str">
        <x:v>Resource 1 — Backend / Security</x:v>
      </x:c>
      <x:c r="F16" s="60" t="str">
        <x:v>Task 2</x:v>
      </x:c>
      <x:c r="G16" s="58" t="d">
        <x:v>2026-10-13T00:00:00.000Z</x:v>
      </x:c>
      <x:c r="H16" s="58" t="d">
        <x:v>2026-10-23T00:00:00.000Z</x:v>
      </x:c>
      <x:c r="I16" s="57" t="str">
        <x:v>High</x:v>
      </x:c>
      <x:c r="J16" s="57" t="str">
        <x:v>Not started</x:v>
      </x:c>
      <x:c r="K16" s="60" t="str">
        <x:v>Prioritize problems that could expose user or health data</x:v>
      </x:c>
      <x:c r="L16" s="59" t="n">
        <x:f>H16-TODAY()</x:f>
        <x:v>14</x:v>
      </x:c>
    </x:row>
    <x:row r="17" ht="32" customHeight="1">
      <x:c r="A17" s="56" t="n">
        <x:v>4</x:v>
      </x:c>
      <x:c r="B17" s="57" t="str">
        <x:v>Cybersecurity</x:v>
      </x:c>
      <x:c r="C17" s="60" t="str">
        <x:v>Protect data while it is moving</x:v>
      </x:c>
      <x:c r="D17" s="60" t="str">
        <x:v>HTTPS/TLS is used for browser, API, database, and storage connections</x:v>
      </x:c>
      <x:c r="E17" s="60" t="str">
        <x:v>Resource 1 — Backend / Security</x:v>
      </x:c>
      <x:c r="F17" s="60" t="str">
        <x:v>Task 3</x:v>
      </x:c>
      <x:c r="G17" s="58" t="d">
        <x:v>2026-10-19T00:00:00.000Z</x:v>
      </x:c>
      <x:c r="H17" s="58" t="d">
        <x:v>2026-10-30T00:00:00.000Z</x:v>
      </x:c>
      <x:c r="I17" s="57" t="str">
        <x:v>High</x:v>
      </x:c>
      <x:c r="J17" s="57" t="str">
        <x:v>Not started</x:v>
      </x:c>
      <x:c r="K17" s="60" t="str">
        <x:v>Block insecure HTTP in production</x:v>
      </x:c>
      <x:c r="L17" s="59" t="n">
        <x:f>H17-TODAY()</x:f>
        <x:v>21</x:v>
      </x:c>
    </x:row>
    <x:row r="18" ht="32" customHeight="1">
      <x:c r="A18" s="56" t="n">
        <x:v>5</x:v>
      </x:c>
      <x:c r="B18" s="57" t="str">
        <x:v>Cybersecurity</x:v>
      </x:c>
      <x:c r="C18" s="60" t="str">
        <x:v>Protect stored data and backups</x:v>
      </x:c>
      <x:c r="D18" s="60" t="str">
        <x:v>Database, S3 files, and backups use encryption and private access</x:v>
      </x:c>
      <x:c r="E18" s="60" t="str">
        <x:v>Resource 1 — Backend / Cloud</x:v>
      </x:c>
      <x:c r="F18" s="60" t="str">
        <x:v>Task 3</x:v>
      </x:c>
      <x:c r="G18" s="58" t="d">
        <x:v>2026-10-19T00:00:00.000Z</x:v>
      </x:c>
      <x:c r="H18" s="58" t="d">
        <x:v>2026-11-06T00:00:00.000Z</x:v>
      </x:c>
      <x:c r="I18" s="57" t="str">
        <x:v>High</x:v>
      </x:c>
      <x:c r="J18" s="57" t="str">
        <x:v>Not started</x:v>
      </x:c>
      <x:c r="K18" s="60" t="str">
        <x:v>Keep buckets private and use short-lived download links</x:v>
      </x:c>
      <x:c r="L18" s="59" t="n">
        <x:f>H18-TODAY()</x:f>
        <x:v>28</x:v>
      </x:c>
    </x:row>
    <x:row r="19" ht="32" customHeight="1">
      <x:c r="A19" s="56" t="n">
        <x:v>6</x:v>
      </x:c>
      <x:c r="B19" s="57" t="str">
        <x:v>Cybersecurity</x:v>
      </x:c>
      <x:c r="C19" s="60" t="str">
        <x:v>Control who can decrypt and view sensitive data</x:v>
      </x:c>
      <x:c r="D19" s="60" t="str">
        <x:v>Only approved roles can access decrypted files and records</x:v>
      </x:c>
      <x:c r="E19" s="60" t="str">
        <x:v>Resource 1 — Security</x:v>
      </x:c>
      <x:c r="F19" s="60" t="str">
        <x:v>Task 5</x:v>
      </x:c>
      <x:c r="G19" s="58" t="d">
        <x:v>2026-10-26T00:00:00.000Z</x:v>
      </x:c>
      <x:c r="H19" s="58" t="d">
        <x:v>2026-11-13T00:00:00.000Z</x:v>
      </x:c>
      <x:c r="I19" s="57" t="str">
        <x:v>High</x:v>
      </x:c>
      <x:c r="J19" s="57" t="str">
        <x:v>Not started</x:v>
      </x:c>
      <x:c r="K19" s="60" t="str">
        <x:v>Add audit logs for sensitive access</x:v>
      </x:c>
      <x:c r="L19" s="59" t="n">
        <x:f>H19-TODAY()</x:f>
        <x:v>35</x:v>
      </x:c>
    </x:row>
    <x:row r="20" ht="32" customHeight="1">
      <x:c r="A20" s="56" t="n">
        <x:v>7</x:v>
      </x:c>
      <x:c r="B20" s="57" t="str">
        <x:v>Cybersecurity</x:v>
      </x:c>
      <x:c r="C20" s="60" t="str">
        <x:v>Move password storage to Argon2id</x:v>
      </x:c>
      <x:c r="D20" s="60" t="str">
        <x:v>New passwords use Argon2id and old hashes migrate after successful login</x:v>
      </x:c>
      <x:c r="E20" s="60" t="str">
        <x:v>Resource 1 — Backend</x:v>
      </x:c>
      <x:c r="F20" s="60" t="str">
        <x:v>Task 3</x:v>
      </x:c>
      <x:c r="G20" s="58" t="d">
        <x:v>2026-10-19T00:00:00.000Z</x:v>
      </x:c>
      <x:c r="H20" s="58" t="d">
        <x:v>2026-11-06T00:00:00.000Z</x:v>
      </x:c>
      <x:c r="I20" s="57" t="str">
        <x:v>High</x:v>
      </x:c>
      <x:c r="J20" s="57" t="str">
        <x:v>Not started</x:v>
      </x:c>
      <x:c r="K20" s="60" t="str">
        <x:v>Never encrypt or log passwords</x:v>
      </x:c>
      <x:c r="L20" s="59" t="n">
        <x:f>H20-TODAY()</x:f>
        <x:v>28</x:v>
      </x:c>
    </x:row>
    <x:row r="21" ht="32" customHeight="1">
      <x:c r="A21" s="56" t="n">
        <x:v>8</x:v>
      </x:c>
      <x:c r="B21" s="57" t="str">
        <x:v>Cybersecurity</x:v>
      </x:c>
      <x:c r="C21" s="60" t="str">
        <x:v>Run security tests</x:v>
      </x:c>
      <x:c r="D21" s="60" t="str">
        <x:v>Login, storage, access control, rate limits, and secrets are tested</x:v>
      </x:c>
      <x:c r="E21" s="60" t="str">
        <x:v>Both resources</x:v>
      </x:c>
      <x:c r="F21" s="60" t="str">
        <x:v>Tasks 4-7</x:v>
      </x:c>
      <x:c r="G21" s="58" t="d">
        <x:v>2026-11-09T00:00:00.000Z</x:v>
      </x:c>
      <x:c r="H21" s="58" t="d">
        <x:v>2026-11-20T00:00:00.000Z</x:v>
      </x:c>
      <x:c r="I21" s="57" t="str">
        <x:v>High</x:v>
      </x:c>
      <x:c r="J21" s="57" t="str">
        <x:v>Not started</x:v>
      </x:c>
      <x:c r="K21" s="60" t="str">
        <x:v>Use staging data only</x:v>
      </x:c>
      <x:c r="L21" s="59" t="n">
        <x:f>H21-TODAY()</x:f>
        <x:v>42</x:v>
      </x:c>
    </x:row>
    <x:row r="22" ht="32" customHeight="1">
      <x:c r="A22" s="56" t="n">
        <x:v>9</x:v>
      </x:c>
      <x:c r="B22" s="57" t="str">
        <x:v>Node.js</x:v>
      </x:c>
      <x:c r="C22" s="60" t="str">
        <x:v>Measure current API speed and resource use</x:v>
      </x:c>
      <x:c r="D22" s="60" t="str">
        <x:v>Baseline shows response time, CPU, memory, and error rate</x:v>
      </x:c>
      <x:c r="E22" s="60" t="str">
        <x:v>Resource 1 — Backend</x:v>
      </x:c>
      <x:c r="F22" s="60" t="str">
        <x:v>Task 1</x:v>
      </x:c>
      <x:c r="G22" s="58" t="d">
        <x:v>2026-10-19T00:00:00.000Z</x:v>
      </x:c>
      <x:c r="H22" s="58" t="d">
        <x:v>2026-10-30T00:00:00.000Z</x:v>
      </x:c>
      <x:c r="I22" s="57" t="str">
        <x:v>High</x:v>
      </x:c>
      <x:c r="J22" s="57" t="str">
        <x:v>Not started</x:v>
      </x:c>
      <x:c r="K22" s="60" t="str">
        <x:v>Test the busiest endpoints first</x:v>
      </x:c>
      <x:c r="L22" s="59" t="n">
        <x:f>H22-TODAY()</x:f>
        <x:v>21</x:v>
      </x:c>
    </x:row>
    <x:row r="23" ht="32" customHeight="1">
      <x:c r="A23" s="56" t="n">
        <x:v>10</x:v>
      </x:c>
      <x:c r="B23" s="57" t="str">
        <x:v>Node.js</x:v>
      </x:c>
      <x:c r="C23" s="60" t="str">
        <x:v>Run load and stress tests</x:v>
      </x:c>
      <x:c r="D23" s="60" t="str">
        <x:v>The team knows how the API behaves with normal and peak traffic</x:v>
      </x:c>
      <x:c r="E23" s="60" t="str">
        <x:v>Both resources</x:v>
      </x:c>
      <x:c r="F23" s="60" t="str">
        <x:v>Task 9</x:v>
      </x:c>
      <x:c r="G23" s="58" t="d">
        <x:v>2026-11-02T00:00:00.000Z</x:v>
      </x:c>
      <x:c r="H23" s="58" t="d">
        <x:v>2026-11-13T00:00:00.000Z</x:v>
      </x:c>
      <x:c r="I23" s="57" t="str">
        <x:v>High</x:v>
      </x:c>
      <x:c r="J23" s="57" t="str">
        <x:v>Not started</x:v>
      </x:c>
      <x:c r="K23" s="60" t="str">
        <x:v>Use synthetic users and test files</x:v>
      </x:c>
      <x:c r="L23" s="59" t="n">
        <x:f>H23-TODAY()</x:f>
        <x:v>35</x:v>
      </x:c>
    </x:row>
    <x:row r="24" ht="32" customHeight="1">
      <x:c r="A24" s="56" t="n">
        <x:v>11</x:v>
      </x:c>
      <x:c r="B24" s="57" t="str">
        <x:v>Node.js</x:v>
      </x:c>
      <x:c r="C24" s="60" t="str">
        <x:v>Fix the biggest performance bottlenecks</x:v>
      </x:c>
      <x:c r="D24" s="60" t="str">
        <x:v>Slow queries, memory issues, and blocking code are improved</x:v>
      </x:c>
      <x:c r="E24" s="60" t="str">
        <x:v>Resource 1 — Backend</x:v>
      </x:c>
      <x:c r="F24" s="60" t="str">
        <x:v>Task 10</x:v>
      </x:c>
      <x:c r="G24" s="58" t="d">
        <x:v>2026-11-09T00:00:00.000Z</x:v>
      </x:c>
      <x:c r="H24" s="58" t="d">
        <x:v>2026-11-27T00:00:00.000Z</x:v>
      </x:c>
      <x:c r="I24" s="57" t="str">
        <x:v>High</x:v>
      </x:c>
      <x:c r="J24" s="57" t="str">
        <x:v>Not started</x:v>
      </x:c>
      <x:c r="K24" s="60" t="str">
        <x:v>Retest after each major fix</x:v>
      </x:c>
      <x:c r="L24" s="59" t="n">
        <x:f>H24-TODAY()</x:f>
        <x:v>49</x:v>
      </x:c>
    </x:row>
    <x:row r="25" ht="32" customHeight="1">
      <x:c r="A25" s="56" t="n">
        <x:v>12</x:v>
      </x:c>
      <x:c r="B25" s="57" t="str">
        <x:v>Node.js</x:v>
      </x:c>
      <x:c r="C25" s="60" t="str">
        <x:v>Repeat the performance test</x:v>
      </x:c>
      <x:c r="D25" s="60" t="str">
        <x:v>Results meet agreed response-time and error-rate targets</x:v>
      </x:c>
      <x:c r="E25" s="60" t="str">
        <x:v>Both resources</x:v>
      </x:c>
      <x:c r="F25" s="60" t="str">
        <x:v>Task 11</x:v>
      </x:c>
      <x:c r="G25" s="58" t="d">
        <x:v>2026-11-30T00:00:00.000Z</x:v>
      </x:c>
      <x:c r="H25" s="58" t="d">
        <x:v>2026-12-11T00:00:00.000Z</x:v>
      </x:c>
      <x:c r="I25" s="57" t="str">
        <x:v>Medium</x:v>
      </x:c>
      <x:c r="J25" s="57" t="str">
        <x:v>Not started</x:v>
      </x:c>
      <x:c r="K25" s="60" t="str">
        <x:v>Record before-and-after results</x:v>
      </x:c>
      <x:c r="L25" s="59" t="n">
        <x:f>H25-TODAY()</x:f>
        <x:v>63</x:v>
      </x:c>
    </x:row>
    <x:row r="26" ht="32" customHeight="1">
      <x:c r="A26" s="56" t="n">
        <x:v>13</x:v>
      </x:c>
      <x:c r="B26" s="57" t="str">
        <x:v>MFA</x:v>
      </x:c>
      <x:c r="C26" s="60" t="str">
        <x:v>Choose the domain or identity provider for MFA</x:v>
      </x:c>
      <x:c r="D26" s="60" t="str">
        <x:v>The MFA provider, domain, email/SMS method, and cost are approved</x:v>
      </x:c>
      <x:c r="E26" s="60" t="str">
        <x:v>Resource 2 — Product / Identity</x:v>
      </x:c>
      <x:c r="F26" s="60" t="str">
        <x:v>Task 1</x:v>
      </x:c>
      <x:c r="G26" s="58" t="d">
        <x:v>2026-10-12T00:00:00.000Z</x:v>
      </x:c>
      <x:c r="H26" s="58" t="d">
        <x:v>2026-10-23T00:00:00.000Z</x:v>
      </x:c>
      <x:c r="I26" s="57" t="str">
        <x:v>High</x:v>
      </x:c>
      <x:c r="J26" s="57" t="str">
        <x:v>Not started</x:v>
      </x:c>
      <x:c r="K26" s="60" t="str">
        <x:v>Domain setup is a dependency for this feature</x:v>
      </x:c>
      <x:c r="L26" s="59" t="n">
        <x:f>H26-TODAY()</x:f>
        <x:v>14</x:v>
      </x:c>
    </x:row>
    <x:row r="27" ht="32" customHeight="1">
      <x:c r="A27" s="56" t="n">
        <x:v>14</x:v>
      </x:c>
      <x:c r="B27" s="57" t="str">
        <x:v>MFA</x:v>
      </x:c>
      <x:c r="C27" s="60" t="str">
        <x:v>Configure the MFA domain and provider</x:v>
      </x:c>
      <x:c r="D27" s="60" t="str">
        <x:v>The staging domain sends and verifies MFA codes successfully</x:v>
      </x:c>
      <x:c r="E27" s="60" t="str">
        <x:v>Resource 1 — Identity / Backend</x:v>
      </x:c>
      <x:c r="F27" s="60" t="str">
        <x:v>Task 13</x:v>
      </x:c>
      <x:c r="G27" s="58" t="d">
        <x:v>2026-10-26T00:00:00.000Z</x:v>
      </x:c>
      <x:c r="H27" s="58" t="d">
        <x:v>2026-11-06T00:00:00.000Z</x:v>
      </x:c>
      <x:c r="I27" s="57" t="str">
        <x:v>High</x:v>
      </x:c>
      <x:c r="J27" s="57" t="str">
        <x:v>Not started</x:v>
      </x:c>
      <x:c r="K27" s="60" t="str">
        <x:v>Use a separate staging configuration</x:v>
      </x:c>
      <x:c r="L27" s="59" t="n">
        <x:f>H27-TODAY()</x:f>
        <x:v>28</x:v>
      </x:c>
    </x:row>
    <x:row r="28" ht="32" customHeight="1">
      <x:c r="A28" s="56" t="n">
        <x:v>15</x:v>
      </x:c>
      <x:c r="B28" s="57" t="str">
        <x:v>MFA</x:v>
      </x:c>
      <x:c r="C28" s="60" t="str">
        <x:v>Build MFA login, recovery, and admin controls</x:v>
      </x:c>
      <x:c r="D28" s="60" t="str">
        <x:v>Users can enroll, verify, recover, and disable MFA safely</x:v>
      </x:c>
      <x:c r="E28" s="60" t="str">
        <x:v>Both resources</x:v>
      </x:c>
      <x:c r="F28" s="60" t="str">
        <x:v>Task 14</x:v>
      </x:c>
      <x:c r="G28" s="58" t="d">
        <x:v>2026-11-02T00:00:00.000Z</x:v>
      </x:c>
      <x:c r="H28" s="58" t="d">
        <x:v>2026-11-20T00:00:00.000Z</x:v>
      </x:c>
      <x:c r="I28" s="57" t="str">
        <x:v>High</x:v>
      </x:c>
      <x:c r="J28" s="57" t="str">
        <x:v>Not started</x:v>
      </x:c>
      <x:c r="K28" s="60" t="str">
        <x:v>Require MFA for admins first</x:v>
      </x:c>
      <x:c r="L28" s="59" t="n">
        <x:f>H28-TODAY()</x:f>
        <x:v>42</x:v>
      </x:c>
    </x:row>
    <x:row r="29" ht="32" customHeight="1">
      <x:c r="A29" s="56" t="n">
        <x:v>16</x:v>
      </x:c>
      <x:c r="B29" s="57" t="str">
        <x:v>MFA</x:v>
      </x:c>
      <x:c r="C29" s="60" t="str">
        <x:v>Test MFA and prepare rollout</x:v>
      </x:c>
      <x:c r="D29" s="60" t="str">
        <x:v>MFA works on common devices and recovery does not weaken security</x:v>
      </x:c>
      <x:c r="E29" s="60" t="str">
        <x:v>Both resources</x:v>
      </x:c>
      <x:c r="F29" s="60" t="str">
        <x:v>Task 15</x:v>
      </x:c>
      <x:c r="G29" s="58" t="d">
        <x:v>2026-11-23T00:00:00.000Z</x:v>
      </x:c>
      <x:c r="H29" s="58" t="d">
        <x:v>2026-12-04T00:00:00.000Z</x:v>
      </x:c>
      <x:c r="I29" s="57" t="str">
        <x:v>High</x:v>
      </x:c>
      <x:c r="J29" s="57" t="str">
        <x:v>Not started</x:v>
      </x:c>
      <x:c r="K29" s="60" t="str">
        <x:v>Test lost phone and backup-code scenarios</x:v>
      </x:c>
      <x:c r="L29" s="59" t="n">
        <x:f>H29-TODAY()</x:f>
        <x:v>56</x:v>
      </x:c>
    </x:row>
    <x:row r="30" ht="32" customHeight="1">
      <x:c r="A30" s="56" t="n">
        <x:v>17</x:v>
      </x:c>
      <x:c r="B30" s="57" t="str">
        <x:v>Payments</x:v>
      </x:c>
      <x:c r="C30" s="60" t="str">
        <x:v>Decide whether a payment gateway is needed</x:v>
      </x:c>
      <x:c r="D30" s="60" t="str">
        <x:v>Business confirms the payment provider, countries, currencies, and refund rules</x:v>
      </x:c>
      <x:c r="E30" s="60" t="str">
        <x:v>Resource 2 — Product / Finance</x:v>
      </x:c>
      <x:c r="F30" s="60" t="str">
        <x:v>Task 1</x:v>
      </x:c>
      <x:c r="G30" s="58" t="d">
        <x:v>2026-10-12T00:00:00.000Z</x:v>
      </x:c>
      <x:c r="H30" s="58" t="d">
        <x:v>2026-10-23T00:00:00.000Z</x:v>
      </x:c>
      <x:c r="I30" s="57" t="str">
        <x:v>High</x:v>
      </x:c>
      <x:c r="J30" s="57" t="str">
        <x:v>Not started</x:v>
      </x:c>
      <x:c r="K30" s="60" t="str">
        <x:v>Keep this as optional until confirmed</x:v>
      </x:c>
      <x:c r="L30" s="59" t="n">
        <x:f>H30-TODAY()</x:f>
        <x:v>14</x:v>
      </x:c>
    </x:row>
    <x:row r="31" ht="32" customHeight="1">
      <x:c r="A31" s="56" t="n">
        <x:v>18</x:v>
      </x:c>
      <x:c r="B31" s="57" t="str">
        <x:v>Payments</x:v>
      </x:c>
      <x:c r="C31" s="60" t="str">
        <x:v>Set up the payment provider in test mode</x:v>
      </x:c>
      <x:c r="D31" s="60" t="str">
        <x:v>Sandbox account, webhooks, keys, and test products work</x:v>
      </x:c>
      <x:c r="E31" s="60" t="str">
        <x:v>Resource 1 — Backend</x:v>
      </x:c>
      <x:c r="F31" s="60" t="str">
        <x:v>Task 17</x:v>
      </x:c>
      <x:c r="G31" s="58" t="d">
        <x:v>2026-10-26T00:00:00.000Z</x:v>
      </x:c>
      <x:c r="H31" s="58" t="d">
        <x:v>2026-11-06T00:00:00.000Z</x:v>
      </x:c>
      <x:c r="I31" s="57" t="str">
        <x:v>Medium</x:v>
      </x:c>
      <x:c r="J31" s="57" t="str">
        <x:v>Not started</x:v>
      </x:c>
      <x:c r="K31" s="60" t="str">
        <x:v>Never use live keys in development</x:v>
      </x:c>
      <x:c r="L31" s="59" t="n">
        <x:f>H31-TODAY()</x:f>
        <x:v>28</x:v>
      </x:c>
    </x:row>
    <x:row r="32" ht="32" customHeight="1">
      <x:c r="A32" s="56" t="n">
        <x:v>19</x:v>
      </x:c>
      <x:c r="B32" s="57" t="str">
        <x:v>Payments</x:v>
      </x:c>
      <x:c r="C32" s="60" t="str">
        <x:v>Build checkout, payment status, and refunds</x:v>
      </x:c>
      <x:c r="D32" s="60" t="str">
        <x:v>A test payment can be created, confirmed, failed, refunded, and recorded</x:v>
      </x:c>
      <x:c r="E32" s="60" t="str">
        <x:v>Both resources</x:v>
      </x:c>
      <x:c r="F32" s="60" t="str">
        <x:v>Task 18</x:v>
      </x:c>
      <x:c r="G32" s="58" t="d">
        <x:v>2026-11-02T00:00:00.000Z</x:v>
      </x:c>
      <x:c r="H32" s="58" t="d">
        <x:v>2026-11-20T00:00:00.000Z</x:v>
      </x:c>
      <x:c r="I32" s="57" t="str">
        <x:v>Medium</x:v>
      </x:c>
      <x:c r="J32" s="57" t="str">
        <x:v>Not started</x:v>
      </x:c>
      <x:c r="K32" s="60" t="str">
        <x:v>Verify webhooks instead of trusting the browser</x:v>
      </x:c>
      <x:c r="L32" s="59" t="n">
        <x:f>H32-TODAY()</x:f>
        <x:v>42</x:v>
      </x:c>
    </x:row>
    <x:row r="33" ht="32" customHeight="1">
      <x:c r="A33" s="56" t="n">
        <x:v>20</x:v>
      </x:c>
      <x:c r="B33" s="57" t="str">
        <x:v>Payments</x:v>
      </x:c>
      <x:c r="C33" s="60" t="str">
        <x:v>Test payment security and end-to-end flow</x:v>
      </x:c>
      <x:c r="D33" s="60" t="str">
        <x:v>Duplicate payments, failed payments, refunds, and webhook retries are handled</x:v>
      </x:c>
      <x:c r="E33" s="60" t="str">
        <x:v>Both resources</x:v>
      </x:c>
      <x:c r="F33" s="60" t="str">
        <x:v>Task 19</x:v>
      </x:c>
      <x:c r="G33" s="58" t="d">
        <x:v>2026-11-23T00:00:00.000Z</x:v>
      </x:c>
      <x:c r="H33" s="58" t="d">
        <x:v>2026-12-04T00:00:00.000Z</x:v>
      </x:c>
      <x:c r="I33" s="57" t="str">
        <x:v>Medium</x:v>
      </x:c>
      <x:c r="J33" s="57" t="str">
        <x:v>Not started</x:v>
      </x:c>
      <x:c r="K33" s="60" t="str">
        <x:v>Use provider test cards only</x:v>
      </x:c>
      <x:c r="L33" s="59" t="n">
        <x:f>H33-TODAY()</x:f>
        <x:v>56</x:v>
      </x:c>
    </x:row>
    <x:row r="34" ht="32" customHeight="1">
      <x:c r="A34" s="56" t="n">
        <x:v>21</x:v>
      </x:c>
      <x:c r="B34" s="57" t="str">
        <x:v>UI/UX</x:v>
      </x:c>
      <x:c r="C34" s="60" t="str">
        <x:v>Prepare the outsourced UI/UX brief</x:v>
      </x:c>
      <x:c r="D34" s="60" t="str">
        <x:v>Vendor has screens, user journeys, brand direction, and acceptance criteria</x:v>
      </x:c>
      <x:c r="E34" s="60" t="str">
        <x:v>Resource 2 — Product / Design</x:v>
      </x:c>
      <x:c r="F34" s="60" t="str">
        <x:v>Task 1</x:v>
      </x:c>
      <x:c r="G34" s="58" t="d">
        <x:v>2026-10-12T00:00:00.000Z</x:v>
      </x:c>
      <x:c r="H34" s="58" t="d">
        <x:v>2026-10-16T00:00:00.000Z</x:v>
      </x:c>
      <x:c r="I34" s="57" t="str">
        <x:v>High</x:v>
      </x:c>
      <x:c r="J34" s="57" t="str">
        <x:v>Not started</x:v>
      </x:c>
      <x:c r="K34" s="60" t="str">
        <x:v>Outsourced work starts Monday</x:v>
      </x:c>
      <x:c r="L34" s="59" t="n">
        <x:f>H34-TODAY()</x:f>
        <x:v>7</x:v>
      </x:c>
    </x:row>
    <x:row r="35" ht="32" customHeight="1">
      <x:c r="A35" s="56" t="n">
        <x:v>22</x:v>
      </x:c>
      <x:c r="B35" s="57" t="str">
        <x:v>UI/UX</x:v>
      </x:c>
      <x:c r="C35" s="60" t="str">
        <x:v>Outsourced UI/UX initial design delivery</x:v>
      </x:c>
      <x:c r="D35" s="60" t="str">
        <x:v>Initial screens and user flows are delivered for review</x:v>
      </x:c>
      <x:c r="E35" s="60" t="str">
        <x:v>External UI/UX Partner</x:v>
      </x:c>
      <x:c r="F35" s="60" t="str">
        <x:v>Task 21</x:v>
      </x:c>
      <x:c r="G35" s="58" t="d">
        <x:v>2026-10-12T00:00:00.000Z</x:v>
      </x:c>
      <x:c r="H35" s="58" t="d">
        <x:v>2026-10-26T00:00:00.000Z</x:v>
      </x:c>
      <x:c r="I35" s="57" t="str">
        <x:v>High</x:v>
      </x:c>
      <x:c r="J35" s="57" t="str">
        <x:v>Not started</x:v>
      </x:c>
      <x:c r="K35" s="60" t="str">
        <x:v>Approx. 2 weeks from start</x:v>
      </x:c>
      <x:c r="L35" s="59" t="n">
        <x:f>H35-TODAY()</x:f>
        <x:v>17</x:v>
      </x:c>
    </x:row>
    <x:row r="36" ht="32" customHeight="1">
      <x:c r="A36" s="56" t="n">
        <x:v>23</x:v>
      </x:c>
      <x:c r="B36" s="57" t="str">
        <x:v>UI/UX</x:v>
      </x:c>
      <x:c r="C36" s="60" t="str">
        <x:v>Review and revise the UI/UX design</x:v>
      </x:c>
      <x:c r="D36" s="60" t="str">
        <x:v>Approved screens are ready for development handoff</x:v>
      </x:c>
      <x:c r="E36" s="60" t="str">
        <x:v>Resource 2 — Product / Design</x:v>
      </x:c>
      <x:c r="F36" s="60" t="str">
        <x:v>Task 22</x:v>
      </x:c>
      <x:c r="G36" s="58" t="d">
        <x:v>2026-10-27T00:00:00.000Z</x:v>
      </x:c>
      <x:c r="H36" s="58" t="d">
        <x:v>2026-11-06T00:00:00.000Z</x:v>
      </x:c>
      <x:c r="I36" s="57" t="str">
        <x:v>Medium</x:v>
      </x:c>
      <x:c r="J36" s="57" t="str">
        <x:v>Not started</x:v>
      </x:c>
      <x:c r="K36" s="60" t="str">
        <x:v>Include accessibility and mobile layouts</x:v>
      </x:c>
      <x:c r="L36" s="59" t="n">
        <x:f>H36-TODAY()</x:f>
        <x:v>28</x:v>
      </x:c>
    </x:row>
    <x:row r="37" ht="32" customHeight="1">
      <x:c r="A37" s="56" t="n">
        <x:v>24</x:v>
      </x:c>
      <x:c r="B37" s="57" t="str">
        <x:v>Release</x:v>
      </x:c>
      <x:c r="C37" s="60" t="str">
        <x:v>Prepare staging release and user acceptance testing</x:v>
      </x:c>
      <x:c r="D37" s="60" t="str">
        <x:v>Security, performance, MFA, payment, and UI/UX work is tested together</x:v>
      </x:c>
      <x:c r="E37" s="60" t="str">
        <x:v>Both resources</x:v>
      </x:c>
      <x:c r="F37" s="60" t="str">
        <x:v>Tasks 8, 12, 16, 20, 23</x:v>
      </x:c>
      <x:c r="G37" s="58" t="d">
        <x:v>2026-12-07T00:00:00.000Z</x:v>
      </x:c>
      <x:c r="H37" s="58" t="d">
        <x:v>2026-12-18T00:00:00.000Z</x:v>
      </x:c>
      <x:c r="I37" s="57" t="str">
        <x:v>High</x:v>
      </x:c>
      <x:c r="J37" s="57" t="str">
        <x:v>Not started</x:v>
      </x:c>
      <x:c r="K37" s="60" t="str">
        <x:v>Use the staging Supabase project</x:v>
      </x:c>
      <x:c r="L37" s="59" t="n">
        <x:f>H37-TODAY()</x:f>
        <x:v>70</x:v>
      </x:c>
    </x:row>
    <x:row r="38" ht="32" customHeight="1">
      <x:c r="A38" s="56" t="n">
        <x:v>25</x:v>
      </x:c>
      <x:c r="B38" s="57" t="str">
        <x:v>Release</x:v>
      </x:c>
      <x:c r="C38" s="60" t="str">
        <x:v>Fix UAT issues and complete go-live checklist</x:v>
      </x:c>
      <x:c r="D38" s="60" t="str">
        <x:v>Open critical issues are closed and owners approve release</x:v>
      </x:c>
      <x:c r="E38" s="60" t="str">
        <x:v>Both resources</x:v>
      </x:c>
      <x:c r="F38" s="60" t="str">
        <x:v>Task 24</x:v>
      </x:c>
      <x:c r="G38" s="58" t="d">
        <x:v>2026-12-21T00:00:00.000Z</x:v>
      </x:c>
      <x:c r="H38" s="58" t="d">
        <x:v>2026-12-30T00:00:00.000Z</x:v>
      </x:c>
      <x:c r="I38" s="57" t="str">
        <x:v>High</x:v>
      </x:c>
      <x:c r="J38" s="57" t="str">
        <x:v>Not started</x:v>
      </x:c>
      <x:c r="K38" s="60" t="str">
        <x:v>Keep Dec 31 as the final review date</x:v>
      </x:c>
      <x:c r="L38" s="59" t="n">
        <x:f>H38-TODAY()</x:f>
        <x:v>82</x:v>
      </x:c>
    </x:row>
    <x:row r="39" ht="32" customHeight="1">
      <x:c r="A39" s="56" t="n">
        <x:v>26</x:v>
      </x:c>
      <x:c r="B39" s="57" t="str">
        <x:v>Review</x:v>
      </x:c>
      <x:c r="C39" s="60" t="str">
        <x:v>Year-end review and next-quarter plan</x:v>
      </x:c>
      <x:c r="D39" s="60" t="str">
        <x:v>Team records what is done, what remains, and the next priorities</x:v>
      </x:c>
      <x:c r="E39" s="60" t="str">
        <x:v>Both resources</x:v>
      </x:c>
      <x:c r="F39" s="60" t="str">
        <x:v>Task 25</x:v>
      </x:c>
      <x:c r="G39" s="58" t="d">
        <x:v>2026-12-31T00:00:00.000Z</x:v>
      </x:c>
      <x:c r="H39" s="58" t="d">
        <x:v>2026-12-31T00:00:00.000Z</x:v>
      </x:c>
      <x:c r="I39" s="57" t="str">
        <x:v>Medium</x:v>
      </x:c>
      <x:c r="J39" s="57" t="str">
        <x:v>Not started</x:v>
      </x:c>
      <x:c r="K39" s="60" t="str">
        <x:v>Use actual progress to reset dates</x:v>
      </x:c>
      <x:c r="L39" s="59" t="n">
        <x:f>H39-TODAY()</x:f>
        <x:v>83</x:v>
      </x:c>
    </x:row>
  </x:sheetData>
  <x:mergeCells>
    <x:mergeCell ref="A1:L1"/>
    <x:mergeCell ref="A2:L2"/>
    <x:mergeCell ref="D4:L10"/>
  </x:mergeCells>
  <x:conditionalFormatting sqref="J14:J39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Blocked"/>
  </x:conditionalFormatting>
  <x:conditionalFormatting sqref="I14:I39">
    <x:cfRule type="containsText" dxfId="3" priority="4" operator="containsText" text="High"/>
  </x:conditionalFormatting>
  <x:conditionalFormatting sqref="L14:L39">
    <x:cfRule type="cellIs" dxfId="4" priority="5" operator="lessThan">
      <x:formula>0</x:formula>
    </x:cfRule>
  </x:conditionalFormatting>
  <x:dataValidations count="2">
    <x:dataValidation type="list" sqref="J14:J39">
      <x:formula1>"Not started,In progress,Blocked,Done"</x:formula1>
    </x:dataValidation>
    <x:dataValidation type="list" sqref="I14:I3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8bb87dc909408b"/>
  </x:tableParts>
</x:worksheet>
</file>